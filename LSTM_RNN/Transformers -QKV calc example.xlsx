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oel\Documents\annclassification\LSTM_RNN\"/>
    </mc:Choice>
  </mc:AlternateContent>
  <xr:revisionPtr revIDLastSave="0" documentId="8_{6E4DA451-E3A0-4C0A-9151-AF3A4843CF52}" xr6:coauthVersionLast="47" xr6:coauthVersionMax="47" xr10:uidLastSave="{00000000-0000-0000-0000-000000000000}"/>
  <bookViews>
    <workbookView xWindow="-110" yWindow="-110" windowWidth="19420" windowHeight="11500" xr2:uid="{68134C5E-4C74-45ED-A9EE-64D72D64F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2" i="1" l="1"/>
  <c r="AJ12" i="1"/>
  <c r="AI12" i="1"/>
  <c r="AH12" i="1"/>
  <c r="AH11" i="1"/>
  <c r="AK11" i="1"/>
  <c r="AJ11" i="1"/>
  <c r="AI11" i="1"/>
  <c r="AI10" i="1"/>
  <c r="AK10" i="1"/>
  <c r="AJ10" i="1"/>
  <c r="AH10" i="1"/>
  <c r="AC16" i="1"/>
  <c r="AE18" i="1"/>
  <c r="AD18" i="1"/>
  <c r="AC18" i="1"/>
  <c r="AE17" i="1"/>
  <c r="AD17" i="1"/>
  <c r="AC17" i="1"/>
  <c r="AE16" i="1"/>
  <c r="AD16" i="1"/>
  <c r="AE12" i="1"/>
  <c r="AD12" i="1"/>
  <c r="AC12" i="1"/>
  <c r="AE11" i="1"/>
  <c r="AD11" i="1"/>
  <c r="AC11" i="1"/>
  <c r="AE10" i="1"/>
  <c r="AD10" i="1"/>
  <c r="AC10" i="1"/>
  <c r="U21" i="1"/>
  <c r="T21" i="1"/>
  <c r="S21" i="1"/>
  <c r="R21" i="1"/>
  <c r="U20" i="1"/>
  <c r="T20" i="1"/>
  <c r="S20" i="1"/>
  <c r="R20" i="1"/>
  <c r="U19" i="1"/>
  <c r="T19" i="1"/>
  <c r="S19" i="1"/>
  <c r="R19" i="1"/>
  <c r="U9" i="1"/>
  <c r="U10" i="1"/>
  <c r="U11" i="1"/>
  <c r="R16" i="1"/>
  <c r="S16" i="1"/>
  <c r="T16" i="1"/>
  <c r="U16" i="1"/>
  <c r="U15" i="1"/>
  <c r="T15" i="1"/>
  <c r="S15" i="1"/>
  <c r="R15" i="1"/>
  <c r="U14" i="1"/>
  <c r="T14" i="1"/>
  <c r="S14" i="1"/>
  <c r="R14" i="1"/>
  <c r="T11" i="1"/>
  <c r="S11" i="1"/>
  <c r="R11" i="1"/>
  <c r="T10" i="1"/>
  <c r="S10" i="1"/>
  <c r="R10" i="1"/>
  <c r="T9" i="1"/>
  <c r="S9" i="1"/>
  <c r="R9" i="1"/>
  <c r="Y12" i="1" l="1"/>
  <c r="Z12" i="1"/>
  <c r="X12" i="1"/>
  <c r="Z11" i="1"/>
  <c r="Y11" i="1"/>
  <c r="X11" i="1"/>
  <c r="X10" i="1"/>
  <c r="Z10" i="1"/>
  <c r="Y10" i="1"/>
  <c r="Y16" i="1" s="1"/>
  <c r="X16" i="1" l="1"/>
  <c r="Z16" i="1"/>
  <c r="Y18" i="1"/>
  <c r="Z18" i="1"/>
  <c r="X18" i="1"/>
  <c r="Z17" i="1"/>
  <c r="Y17" i="1"/>
  <c r="X17" i="1"/>
</calcChain>
</file>

<file path=xl/sharedStrings.xml><?xml version="1.0" encoding="utf-8"?>
<sst xmlns="http://schemas.openxmlformats.org/spreadsheetml/2006/main" count="57" uniqueCount="21">
  <si>
    <t>Sequence to encode:</t>
  </si>
  <si>
    <t>t1</t>
  </si>
  <si>
    <t>t2</t>
  </si>
  <si>
    <t>t3</t>
  </si>
  <si>
    <t>Zero</t>
  </si>
  <si>
    <t>is</t>
  </si>
  <si>
    <t>Hero</t>
  </si>
  <si>
    <t>Word embeddings</t>
  </si>
  <si>
    <t>Wq</t>
  </si>
  <si>
    <t>Wk</t>
  </si>
  <si>
    <t>Wv</t>
  </si>
  <si>
    <t>Wq -T</t>
  </si>
  <si>
    <t>Wk - T</t>
  </si>
  <si>
    <t>Wv - T</t>
  </si>
  <si>
    <t>Querry vectors</t>
  </si>
  <si>
    <t>Key vectors</t>
  </si>
  <si>
    <t>Value vectors</t>
  </si>
  <si>
    <t>dot product:  Q.K</t>
  </si>
  <si>
    <t>Attention weights (softmax)</t>
  </si>
  <si>
    <t>scaled dot product: Q.K/sqrt(d_k)</t>
  </si>
  <si>
    <t>Contextual word embeddings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</si>
</sst>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4030-E51F-47DD-AA06-25902FAD7668}">
  <dimension ref="A1:AK22"/>
  <sheetViews>
    <sheetView tabSelected="1" topLeftCell="U1" workbookViewId="0">
      <selection activeCell="AI18" sqref="AI18"/>
    </sheetView>
  </sheetViews>
  <sheetFormatPr defaultRowHeight="14.5" x14ac:dyDescent="0.35"/>
  <cols>
    <col min="3" max="3" width="3.453125" customWidth="1"/>
    <col min="5" max="9" width="6" customWidth="1"/>
    <col min="10" max="10" width="3.08984375" customWidth="1"/>
    <col min="11" max="11" width="6.36328125" customWidth="1"/>
    <col min="12" max="15" width="6.26953125" customWidth="1"/>
    <col min="16" max="16" width="3.54296875" customWidth="1"/>
    <col min="17" max="17" width="6.54296875" customWidth="1"/>
  </cols>
  <sheetData>
    <row r="1" spans="1:37" x14ac:dyDescent="0.35">
      <c r="F1" s="1" t="s">
        <v>7</v>
      </c>
      <c r="G1" s="1"/>
      <c r="H1" s="1"/>
      <c r="I1" s="1"/>
    </row>
    <row r="2" spans="1:37" x14ac:dyDescent="0.35">
      <c r="D2" t="s">
        <v>1</v>
      </c>
      <c r="E2" t="s">
        <v>4</v>
      </c>
      <c r="F2">
        <v>0.43109999999999998</v>
      </c>
      <c r="G2">
        <v>0.38290000000000002</v>
      </c>
      <c r="H2">
        <v>0.49669999999999997</v>
      </c>
      <c r="I2">
        <v>0.25180000000000002</v>
      </c>
    </row>
    <row r="3" spans="1:37" x14ac:dyDescent="0.35">
      <c r="A3" t="s">
        <v>0</v>
      </c>
    </row>
    <row r="4" spans="1:37" x14ac:dyDescent="0.35">
      <c r="D4" t="s">
        <v>2</v>
      </c>
      <c r="E4" t="s">
        <v>5</v>
      </c>
      <c r="F4">
        <v>0.15260000000000001</v>
      </c>
      <c r="G4">
        <v>0.23669999999999999</v>
      </c>
      <c r="H4">
        <v>0.1047</v>
      </c>
      <c r="I4">
        <v>0.155</v>
      </c>
    </row>
    <row r="5" spans="1:37" x14ac:dyDescent="0.35">
      <c r="AC5">
        <v>3.14</v>
      </c>
    </row>
    <row r="6" spans="1:37" x14ac:dyDescent="0.35">
      <c r="D6" t="s">
        <v>3</v>
      </c>
      <c r="E6" t="s">
        <v>6</v>
      </c>
      <c r="F6">
        <v>0.33639999999999998</v>
      </c>
      <c r="G6">
        <v>0.17799999999999999</v>
      </c>
      <c r="H6">
        <v>0.32140000000000002</v>
      </c>
      <c r="I6">
        <v>0.11459999999999999</v>
      </c>
    </row>
    <row r="8" spans="1:37" x14ac:dyDescent="0.35">
      <c r="R8" s="1" t="s">
        <v>14</v>
      </c>
      <c r="S8" s="1"/>
      <c r="T8" s="1"/>
      <c r="U8" s="1"/>
      <c r="W8" s="1" t="s">
        <v>17</v>
      </c>
      <c r="X8" s="1"/>
      <c r="Y8" s="1"/>
      <c r="Z8" s="1"/>
      <c r="AB8" s="1" t="s">
        <v>18</v>
      </c>
      <c r="AC8" s="1"/>
      <c r="AD8" s="1"/>
      <c r="AE8" s="1"/>
      <c r="AG8" s="1" t="s">
        <v>20</v>
      </c>
      <c r="AH8" s="1"/>
      <c r="AI8" s="1"/>
      <c r="AJ8" s="1"/>
    </row>
    <row r="9" spans="1:37" x14ac:dyDescent="0.35">
      <c r="E9" t="s">
        <v>8</v>
      </c>
      <c r="F9" s="2">
        <v>0.11899999999999999</v>
      </c>
      <c r="G9" s="2">
        <v>0.311</v>
      </c>
      <c r="H9" s="2">
        <v>0.16200000000000001</v>
      </c>
      <c r="I9" s="2">
        <v>0.15</v>
      </c>
      <c r="K9" t="s">
        <v>11</v>
      </c>
      <c r="L9" s="2">
        <v>0.11899999999999999</v>
      </c>
      <c r="M9" s="2">
        <v>0.13500000000000001</v>
      </c>
      <c r="N9" s="2">
        <v>0.39</v>
      </c>
      <c r="O9" s="2">
        <v>0.313</v>
      </c>
      <c r="Q9" t="s">
        <v>4</v>
      </c>
      <c r="R9">
        <f>SUMPRODUCT(F2:I2,$L$9:$O$9)</f>
        <v>0.37551880000000004</v>
      </c>
      <c r="S9">
        <f>SUMPRODUCT(F2:I2,$L$10:$O$10)</f>
        <v>0.40550470000000005</v>
      </c>
      <c r="T9">
        <f>SUMPRODUCT(F2:I2,$L$11:$O$11)</f>
        <v>0.35734850000000001</v>
      </c>
      <c r="U9">
        <f>SUMPRODUCT(F2:I2,$L$12:$O$12)</f>
        <v>0.3405899</v>
      </c>
      <c r="X9" t="s">
        <v>4</v>
      </c>
      <c r="Y9" t="s">
        <v>5</v>
      </c>
      <c r="Z9" t="s">
        <v>6</v>
      </c>
      <c r="AC9" t="s">
        <v>4</v>
      </c>
      <c r="AD9" t="s">
        <v>5</v>
      </c>
      <c r="AE9" t="s">
        <v>6</v>
      </c>
    </row>
    <row r="10" spans="1:37" x14ac:dyDescent="0.35">
      <c r="F10" s="2">
        <v>0.13500000000000001</v>
      </c>
      <c r="G10" s="2">
        <v>0.11700000000000001</v>
      </c>
      <c r="H10" s="2">
        <v>0.26400000000000001</v>
      </c>
      <c r="I10" s="2">
        <v>0.29399999999999998</v>
      </c>
      <c r="L10" s="2">
        <v>0.311</v>
      </c>
      <c r="M10" s="2">
        <v>0.11700000000000001</v>
      </c>
      <c r="N10" s="2">
        <v>0.36299999999999999</v>
      </c>
      <c r="O10" s="2">
        <v>0.184</v>
      </c>
      <c r="Q10" t="s">
        <v>5</v>
      </c>
      <c r="R10">
        <f>SUMPRODUCT(F4:I4,$L$9:$O$9)</f>
        <v>0.1394619</v>
      </c>
      <c r="S10">
        <f>SUMPRODUCT(F4:I4,$L$10:$O$10)</f>
        <v>0.14167860000000002</v>
      </c>
      <c r="T10">
        <f>SUMPRODUCT(F4:I4,$L$11:$O$11)</f>
        <v>0.13863549999999999</v>
      </c>
      <c r="U10">
        <f>SUMPRODUCT(F4:I4,$L$12:$O$12)</f>
        <v>0.1397553</v>
      </c>
      <c r="W10" t="s">
        <v>4</v>
      </c>
      <c r="X10">
        <f>SUMPRODUCT($R$9:$U$9,$R$14:$U$14)</f>
        <v>0.62146109625141011</v>
      </c>
      <c r="Y10">
        <f>SUMPRODUCT($R$9:$U$9,$R$15:$U$15)</f>
        <v>0.26518366716817005</v>
      </c>
      <c r="Z10">
        <f>SUMPRODUCT($R$9:$U$9,$R$16:$U$16)</f>
        <v>0.38372556837150001</v>
      </c>
      <c r="AB10" t="s">
        <v>4</v>
      </c>
      <c r="AC10">
        <f>$AC$5^X10/(SUM($AC$5^X10+$AC$5^Y10+$AC$5^Z10))</f>
        <v>0.41202423623522083</v>
      </c>
      <c r="AD10">
        <f>$AC$5^Y10/(SUM($AC$5^X10+$AC$5^Y10+$AC$5^Z10))</f>
        <v>0.27408037861525258</v>
      </c>
      <c r="AE10">
        <f>$AC$5^Z10/(SUM($AC$5^X10+$AC$5^Y10+$AC$5^Z10))</f>
        <v>0.31389538514952647</v>
      </c>
      <c r="AG10" t="s">
        <v>4</v>
      </c>
      <c r="AH10">
        <f>$AC10*F$2+$AD10*F$4+$AE10*F$6</f>
        <v>0.32504272158199193</v>
      </c>
      <c r="AI10">
        <f>$AC10*G$2+$AD10*G$4+$AE10*G$6</f>
        <v>0.27851228422931207</v>
      </c>
      <c r="AJ10">
        <f t="shared" ref="AI10:AJ10" si="0">$AC10*H$2+$AD10*H$4+$AE10*H$6</f>
        <v>0.33423463056610891</v>
      </c>
      <c r="AK10">
        <f>$AC10*I$2+$AD10*I$4+$AE10*I$6</f>
        <v>0.1822025725075285</v>
      </c>
    </row>
    <row r="11" spans="1:37" x14ac:dyDescent="0.35">
      <c r="F11" s="2">
        <v>0.39</v>
      </c>
      <c r="G11" s="2">
        <v>0.36299999999999999</v>
      </c>
      <c r="H11" s="2">
        <v>0.315</v>
      </c>
      <c r="I11" s="2">
        <v>0.26500000000000001</v>
      </c>
      <c r="L11" s="2">
        <v>0.16200000000000001</v>
      </c>
      <c r="M11" s="2">
        <v>0.26400000000000001</v>
      </c>
      <c r="N11" s="2">
        <v>0.315</v>
      </c>
      <c r="O11" s="2">
        <v>0.11899999999999999</v>
      </c>
      <c r="Q11" t="s">
        <v>6</v>
      </c>
      <c r="R11">
        <f>SUMPRODUCT(F6:I6,$L$9:$O$9)</f>
        <v>0.22527740000000002</v>
      </c>
      <c r="S11">
        <f>SUMPRODUCT(F6:I6,$L$10:$O$10)</f>
        <v>0.26320099999999996</v>
      </c>
      <c r="T11">
        <f>SUMPRODUCT(F6:I6,$L$11:$O$11)</f>
        <v>0.21636720000000001</v>
      </c>
      <c r="U11">
        <f>SUMPRODUCT(F6:I6,$L$12:$O$12)</f>
        <v>0.20240259999999999</v>
      </c>
      <c r="W11" t="s">
        <v>5</v>
      </c>
      <c r="X11">
        <f>SUMPRODUCT($R$10:$U$10,$R$14:$U$14)</f>
        <v>0.23300410953555001</v>
      </c>
      <c r="Y11">
        <f>SUMPRODUCT($R$10:$U$10,$R$15:$U$15)</f>
        <v>9.9404872666250005E-2</v>
      </c>
      <c r="Z11">
        <f>SUMPRODUCT($R$10:$U$10,$R$16:$U$16)</f>
        <v>0.14405192255366001</v>
      </c>
      <c r="AB11" t="s">
        <v>5</v>
      </c>
      <c r="AC11">
        <f>$AC$5^X11/(SUM($AC$5^X11+$AC$5^Y11+$AC$5^Z11))</f>
        <v>0.36212585934015468</v>
      </c>
      <c r="AD11">
        <f>$AC$5^Y11/(SUM($AC$5^X11+$AC$5^Y11+$AC$5^Z11))</f>
        <v>0.31079220453876161</v>
      </c>
      <c r="AE11">
        <f>$AC$5^Z11/(SUM($AC$5^X11+$AC$5^Y11+$AC$5^Z11))</f>
        <v>0.32708193612108388</v>
      </c>
      <c r="AG11" t="s">
        <v>5</v>
      </c>
      <c r="AH11">
        <f>$AC11*F$2+$AD11*F$4+$AE11*F$6</f>
        <v>0.3135697116852883</v>
      </c>
      <c r="AI11">
        <f>$AC11*G$2+$AD11*G$4+$AE11*G$6</f>
        <v>0.27044309098522301</v>
      </c>
      <c r="AJ11">
        <f t="shared" ref="AJ11" si="1">$AC11*H$2+$AD11*H$4+$AE11*H$6</f>
        <v>0.3175319924187795</v>
      </c>
      <c r="AK11">
        <f>$AC11*I$2+$AD11*I$4+$AE11*I$6</f>
        <v>0.17683967296483522</v>
      </c>
    </row>
    <row r="12" spans="1:37" x14ac:dyDescent="0.35">
      <c r="F12" s="2">
        <v>0.313</v>
      </c>
      <c r="G12" s="2">
        <v>0.184</v>
      </c>
      <c r="H12" s="2">
        <v>0.11899999999999999</v>
      </c>
      <c r="I12" s="2">
        <v>0.126</v>
      </c>
      <c r="L12" s="2">
        <v>0.15</v>
      </c>
      <c r="M12" s="2">
        <v>0.29399999999999998</v>
      </c>
      <c r="N12" s="2">
        <v>0.26500000000000001</v>
      </c>
      <c r="O12" s="2">
        <v>0.126</v>
      </c>
      <c r="W12" t="s">
        <v>6</v>
      </c>
      <c r="X12">
        <f>SUMPRODUCT($R$11:$U$11,$R$14:$U$14)</f>
        <v>0.38358764410290003</v>
      </c>
      <c r="Y12">
        <f>SUMPRODUCT($R$11:$U$11,$R$15:$U$15)</f>
        <v>0.16373815066337999</v>
      </c>
      <c r="Z12">
        <f>SUMPRODUCT($R$11:$U$11,$R$16:$U$16)</f>
        <v>0.23667387074739998</v>
      </c>
      <c r="AB12" t="s">
        <v>6</v>
      </c>
      <c r="AC12">
        <f>$AC$5^X12/(SUM($AC$5^X12+$AC$5^Y12+$AC$5^Z12))</f>
        <v>0.38126366280924817</v>
      </c>
      <c r="AD12">
        <f>$AC$5^Y12/(SUM($AC$5^X12+$AC$5^Y12+$AC$5^Z12))</f>
        <v>0.29646653972065412</v>
      </c>
      <c r="AE12">
        <f>$AC$5^Z12/(SUM($AC$5^X12+$AC$5^Y12+$AC$5^Z12))</f>
        <v>0.32226979747009771</v>
      </c>
      <c r="AG12" t="s">
        <v>6</v>
      </c>
      <c r="AH12">
        <f>$AC12*F$2+$AD12*F$4+$AE12*F$6</f>
        <v>0.31801511886737954</v>
      </c>
      <c r="AI12">
        <f>$AC12*G$2+$AD12*G$4+$AE12*G$6</f>
        <v>0.27352351039121736</v>
      </c>
      <c r="AJ12">
        <f t="shared" ref="AJ12" si="2">$AC12*H$2+$AD12*H$4+$AE12*H$6</f>
        <v>0.32399122093299548</v>
      </c>
      <c r="AK12">
        <f>$AC12*I$2+$AD12*I$4+$AE12*I$6</f>
        <v>0.17888662274214329</v>
      </c>
    </row>
    <row r="13" spans="1:37" x14ac:dyDescent="0.35">
      <c r="R13" s="1" t="s">
        <v>15</v>
      </c>
      <c r="S13" s="1"/>
      <c r="T13" s="1"/>
      <c r="U13" s="1"/>
    </row>
    <row r="14" spans="1:37" x14ac:dyDescent="0.35">
      <c r="E14" t="s">
        <v>9</v>
      </c>
      <c r="F14" s="2">
        <v>0.28299999999999997</v>
      </c>
      <c r="G14" s="2">
        <v>0.34300000000000003</v>
      </c>
      <c r="H14" s="2">
        <v>0.38300000000000001</v>
      </c>
      <c r="I14" s="2">
        <v>0.34200000000000003</v>
      </c>
      <c r="K14" t="s">
        <v>12</v>
      </c>
      <c r="L14" s="2">
        <v>0.28299999999999997</v>
      </c>
      <c r="M14" s="2">
        <v>0.27500000000000002</v>
      </c>
      <c r="N14" s="2">
        <v>0.23400000000000001</v>
      </c>
      <c r="O14" s="2">
        <v>0.16700000000000001</v>
      </c>
      <c r="Q14" t="s">
        <v>4</v>
      </c>
      <c r="R14">
        <f>SUMPRODUCT(F2:I2,$L$14:$O$14)</f>
        <v>0.38557720000000001</v>
      </c>
      <c r="S14">
        <f>SUMPRODUCT(F2:I2,$L$15:$O$15)</f>
        <v>0.53431760000000006</v>
      </c>
      <c r="T14">
        <f>SUMPRODUCT(F2:I2,$L$16:$O$16)</f>
        <v>0.39489299999999999</v>
      </c>
      <c r="U14">
        <f>SUMPRODUCT(F2:I2,$L$17:$O$17)</f>
        <v>0.34906170000000003</v>
      </c>
      <c r="W14" t="s">
        <v>19</v>
      </c>
    </row>
    <row r="15" spans="1:37" x14ac:dyDescent="0.35">
      <c r="F15" s="2">
        <v>0.27500000000000002</v>
      </c>
      <c r="G15" s="2">
        <v>0.39</v>
      </c>
      <c r="H15" s="2">
        <v>0.35299999999999998</v>
      </c>
      <c r="I15" s="2">
        <v>0.24399999999999999</v>
      </c>
      <c r="L15" s="2">
        <v>0.34300000000000003</v>
      </c>
      <c r="M15" s="2">
        <v>0.39</v>
      </c>
      <c r="N15" s="2">
        <v>0.30299999999999999</v>
      </c>
      <c r="O15" s="2">
        <v>0.34399999999999997</v>
      </c>
      <c r="Q15" t="s">
        <v>5</v>
      </c>
      <c r="R15">
        <f>SUMPRODUCT(F4:I4,$L$14:$O$14)</f>
        <v>0.1586631</v>
      </c>
      <c r="S15">
        <f>SUMPRODUCT(F4:I4,$L$15:$O$15)</f>
        <v>0.22969890000000004</v>
      </c>
      <c r="T15">
        <f>SUMPRODUCT(F4:I4,$L$16:$O$16)</f>
        <v>0.17652049999999997</v>
      </c>
      <c r="U15">
        <f>SUMPRODUCT(F4:I4,$L$17:$O$17)</f>
        <v>0.14498190000000002</v>
      </c>
      <c r="X15" t="s">
        <v>4</v>
      </c>
      <c r="Y15" t="s">
        <v>5</v>
      </c>
      <c r="Z15" t="s">
        <v>6</v>
      </c>
      <c r="AC15" t="s">
        <v>4</v>
      </c>
      <c r="AD15" t="s">
        <v>5</v>
      </c>
      <c r="AE15" t="s">
        <v>6</v>
      </c>
    </row>
    <row r="16" spans="1:37" x14ac:dyDescent="0.35">
      <c r="F16" s="2">
        <v>0.23400000000000001</v>
      </c>
      <c r="G16" s="2">
        <v>0.30299999999999999</v>
      </c>
      <c r="H16" s="2">
        <v>0.11799999999999999</v>
      </c>
      <c r="I16" s="2">
        <v>0.157</v>
      </c>
      <c r="L16" s="2">
        <v>0.38300000000000001</v>
      </c>
      <c r="M16" s="2">
        <v>0.35299999999999998</v>
      </c>
      <c r="N16" s="2">
        <v>0.11799999999999999</v>
      </c>
      <c r="O16" s="2">
        <v>0.14299999999999999</v>
      </c>
      <c r="Q16" t="s">
        <v>6</v>
      </c>
      <c r="R16">
        <f>SUMPRODUCT(F6:I6,$L$14:$O$14)</f>
        <v>0.23849699999999999</v>
      </c>
      <c r="S16">
        <f>SUMPRODUCT(F6:I6,$L$15:$O$15)</f>
        <v>0.3216118</v>
      </c>
      <c r="T16">
        <f>SUMPRODUCT(F6:I6,$L$16:$O$16)</f>
        <v>0.24598819999999999</v>
      </c>
      <c r="U16">
        <f>SUMPRODUCT(F6:I6,$L$17:$O$17)</f>
        <v>0.22269259999999999</v>
      </c>
      <c r="W16" t="s">
        <v>4</v>
      </c>
      <c r="X16">
        <f>X10/2</f>
        <v>0.31073054812570505</v>
      </c>
      <c r="Y16">
        <f t="shared" ref="Y16:Z16" si="3">Y10/2</f>
        <v>0.13259183358408502</v>
      </c>
      <c r="Z16">
        <f t="shared" si="3"/>
        <v>0.19186278418575001</v>
      </c>
      <c r="AB16" t="s">
        <v>4</v>
      </c>
      <c r="AC16">
        <f>$AC$5^X16/(SUM($AC$5^X16+$AC$5^Y16+$AC$5^Z16))</f>
        <v>0.37196381452305793</v>
      </c>
      <c r="AD16">
        <f>$AC$5^Y16/(SUM($AC$5^X16+$AC$5^Y16+$AC$5^Z16))</f>
        <v>0.30337394849818894</v>
      </c>
      <c r="AE16">
        <f>$AC$5^Z16/(SUM($AC$5^X16+$AC$5^Y16+$AC$5^Z16))</f>
        <v>0.32466223697875302</v>
      </c>
    </row>
    <row r="17" spans="5:31" x14ac:dyDescent="0.35">
      <c r="F17" s="2">
        <v>0.16700000000000001</v>
      </c>
      <c r="G17" s="2">
        <v>0.34399999999999997</v>
      </c>
      <c r="H17" s="2">
        <v>0.14299999999999999</v>
      </c>
      <c r="I17" s="2">
        <v>0.12</v>
      </c>
      <c r="L17" s="2">
        <v>0.34200000000000003</v>
      </c>
      <c r="M17" s="2">
        <v>0.24399999999999999</v>
      </c>
      <c r="N17" s="2">
        <v>0.157</v>
      </c>
      <c r="O17" s="2">
        <v>0.12</v>
      </c>
      <c r="W17" t="s">
        <v>5</v>
      </c>
      <c r="X17">
        <f t="shared" ref="X17:Z17" si="4">X11/2</f>
        <v>0.116502054767775</v>
      </c>
      <c r="Y17">
        <f t="shared" si="4"/>
        <v>4.9702436333125002E-2</v>
      </c>
      <c r="Z17">
        <f t="shared" si="4"/>
        <v>7.2025961276830003E-2</v>
      </c>
      <c r="AB17" t="s">
        <v>5</v>
      </c>
      <c r="AC17">
        <f>$AC$5^X17/(SUM($AC$5^X17+$AC$5^Y17+$AC$5^Z17))</f>
        <v>0.34760880936676453</v>
      </c>
      <c r="AD17">
        <f>$AC$5^Y17/(SUM($AC$5^X17+$AC$5^Y17+$AC$5^Z17))</f>
        <v>0.32202980070452908</v>
      </c>
      <c r="AE17">
        <f>$AC$5^Z17/(SUM($AC$5^X17+$AC$5^Y17+$AC$5^Z17))</f>
        <v>0.33036138992870645</v>
      </c>
    </row>
    <row r="18" spans="5:31" x14ac:dyDescent="0.35">
      <c r="R18" s="1" t="s">
        <v>16</v>
      </c>
      <c r="S18" s="1"/>
      <c r="T18" s="1"/>
      <c r="U18" s="1"/>
      <c r="W18" t="s">
        <v>6</v>
      </c>
      <c r="X18">
        <f t="shared" ref="X18:Z18" si="5">X12/2</f>
        <v>0.19179382205145001</v>
      </c>
      <c r="Y18">
        <f t="shared" si="5"/>
        <v>8.1869075331689994E-2</v>
      </c>
      <c r="Z18">
        <f t="shared" si="5"/>
        <v>0.11833693537369999</v>
      </c>
      <c r="AB18" t="s">
        <v>6</v>
      </c>
      <c r="AC18">
        <f>$AC$5^X18/(SUM($AC$5^X18+$AC$5^Y18+$AC$5^Z18))</f>
        <v>0.35699055498610754</v>
      </c>
      <c r="AD18">
        <f>$AC$5^Y18/(SUM($AC$5^X18+$AC$5^Y18+$AC$5^Z18))</f>
        <v>0.3147979244651723</v>
      </c>
      <c r="AE18">
        <f>$AC$5^Z18/(SUM($AC$5^X18+$AC$5^Y18+$AC$5^Z18))</f>
        <v>0.3282115205487201</v>
      </c>
    </row>
    <row r="19" spans="5:31" x14ac:dyDescent="0.35">
      <c r="E19" t="s">
        <v>10</v>
      </c>
      <c r="F19" s="2">
        <v>0.14599999999999999</v>
      </c>
      <c r="G19" s="2">
        <v>0.33100000000000002</v>
      </c>
      <c r="H19" s="2">
        <v>0.26800000000000002</v>
      </c>
      <c r="I19" s="2">
        <v>0.128</v>
      </c>
      <c r="K19" t="s">
        <v>13</v>
      </c>
      <c r="L19" s="2">
        <v>0.14599999999999999</v>
      </c>
      <c r="M19" s="2">
        <v>0.12</v>
      </c>
      <c r="N19" s="2">
        <v>0.34799999999999998</v>
      </c>
      <c r="O19" s="2">
        <v>0.38700000000000001</v>
      </c>
      <c r="Q19" t="s">
        <v>4</v>
      </c>
      <c r="R19">
        <f>SUMPRODUCT(F2:I2,$L$19:$O$19)</f>
        <v>0.37918679999999999</v>
      </c>
      <c r="S19">
        <f>SUMPRODUCT(F2:I2,$L$20:$O$20)</f>
        <v>0.39231739999999998</v>
      </c>
      <c r="T19">
        <f>SUMPRODUCT(F2:I2,$L$21:$O$21)</f>
        <v>0.43939910000000004</v>
      </c>
      <c r="U19">
        <f>SUMPRODUCT(F2:I2,$L$22:$O$22)</f>
        <v>0.33850590000000003</v>
      </c>
    </row>
    <row r="20" spans="5:31" x14ac:dyDescent="0.35">
      <c r="F20" s="2">
        <v>0.12</v>
      </c>
      <c r="G20" s="2">
        <v>0.13700000000000001</v>
      </c>
      <c r="H20" s="2">
        <v>0.32700000000000001</v>
      </c>
      <c r="I20" s="2">
        <v>0.34100000000000003</v>
      </c>
      <c r="L20" s="2">
        <v>0.33100000000000002</v>
      </c>
      <c r="M20" s="2">
        <v>0.13700000000000001</v>
      </c>
      <c r="N20" s="2">
        <v>0.218</v>
      </c>
      <c r="O20" s="2">
        <v>0.35299999999999998</v>
      </c>
      <c r="Q20" t="s">
        <v>5</v>
      </c>
      <c r="R20">
        <f>SUMPRODUCT(F4:I4,$L$19:$O$19)</f>
        <v>0.14710419999999999</v>
      </c>
      <c r="S20">
        <f>SUMPRODUCT(F4:I4,$L$20:$O$20)</f>
        <v>0.16047810000000001</v>
      </c>
      <c r="T20">
        <f>SUMPRODUCT(F4:I4,$L$21:$O$21)</f>
        <v>0.18147450000000001</v>
      </c>
      <c r="U20">
        <f>SUMPRODUCT(F4:I4,$L$22:$O$22)</f>
        <v>0.16975090000000001</v>
      </c>
    </row>
    <row r="21" spans="5:31" x14ac:dyDescent="0.35">
      <c r="F21" s="2">
        <v>0.34799999999999998</v>
      </c>
      <c r="G21" s="2">
        <v>0.218</v>
      </c>
      <c r="H21" s="2">
        <v>0.29399999999999998</v>
      </c>
      <c r="I21" s="2">
        <v>0.122</v>
      </c>
      <c r="L21" s="2">
        <v>0.26800000000000002</v>
      </c>
      <c r="M21" s="2">
        <v>0.32700000000000001</v>
      </c>
      <c r="N21" s="2">
        <v>0.29399999999999998</v>
      </c>
      <c r="O21" s="2">
        <v>0.20899999999999999</v>
      </c>
      <c r="Q21" t="s">
        <v>6</v>
      </c>
      <c r="R21">
        <f>SUMPRODUCT(F6:I6,$L$19:$O$19)</f>
        <v>0.22667179999999998</v>
      </c>
      <c r="S21">
        <f>SUMPRODUCT(F6:I6,$L$20:$O$20)</f>
        <v>0.24625340000000001</v>
      </c>
      <c r="T21">
        <f>SUMPRODUCT(F6:I6,$L$21:$O$21)</f>
        <v>0.26680419999999999</v>
      </c>
      <c r="U21">
        <f>SUMPRODUCT(F6:I6,$L$22:$O$22)</f>
        <v>0.18491159999999998</v>
      </c>
    </row>
    <row r="22" spans="5:31" x14ac:dyDescent="0.35">
      <c r="F22" s="2">
        <v>0.38700000000000001</v>
      </c>
      <c r="G22" s="2">
        <v>0.35299999999999998</v>
      </c>
      <c r="H22" s="2">
        <v>0.20899999999999999</v>
      </c>
      <c r="I22" s="2">
        <v>0.36599999999999999</v>
      </c>
      <c r="L22" s="2">
        <v>0.128</v>
      </c>
      <c r="M22" s="2">
        <v>0.34100000000000003</v>
      </c>
      <c r="N22" s="2">
        <v>0.122</v>
      </c>
      <c r="O22" s="2">
        <v>0.36599999999999999</v>
      </c>
    </row>
  </sheetData>
  <pageMargins left="0.7" right="0.7" top="0.75" bottom="0.75" header="0.3" footer="0.3"/>
  <headerFooter>
    <oddFooter>&amp;C_x000D_&amp;1#&amp;"Aptos"&amp;7&amp;K000000 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Goel</dc:creator>
  <cp:lastModifiedBy>Ashish Goel</cp:lastModifiedBy>
  <dcterms:created xsi:type="dcterms:W3CDTF">2026-01-18T11:37:04Z</dcterms:created>
  <dcterms:modified xsi:type="dcterms:W3CDTF">2026-01-18T12:16:37Z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2026-01-18T12:16:09Z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10923442-d8fe-49d2-9e67-5881fd3a8595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10, 3, 0, 1</vt:lpwstr>
  </property>
</Properties>
</file>